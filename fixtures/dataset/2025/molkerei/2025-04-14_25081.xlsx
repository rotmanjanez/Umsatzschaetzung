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hnung" sheetId="1" state="visible" r:id="rId1"/>
  </sheets>
  <definedNames>
    <definedName name="_xlnm.Print_Area" localSheetId="0">'Rechnung'!$A$1:$I$26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-407]#,##0"/>
    <numFmt numFmtId="165" formatCode="[$-407]#,##0.00\ &quot;€&quot;"/>
    <numFmt numFmtId="166" formatCode="[$-407]0\ &quot;%&quot;"/>
  </numFmts>
  <fonts count="7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sz val="10"/>
    </font>
    <font>
      <name val="Arial"/>
      <sz val="9"/>
    </font>
    <font>
      <name val="Arial"/>
      <sz val="7"/>
    </font>
    <font>
      <name val="Arial"/>
      <b val="1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15" customWidth="1" min="4" max="4"/>
    <col width="8" customWidth="1" min="5" max="5"/>
    <col width="8" customWidth="1" min="6" max="6"/>
    <col width="12" customWidth="1" min="7" max="7"/>
    <col width="13" customWidth="1" min="8" max="8"/>
    <col width="8" customWidth="1" min="9" max="9"/>
  </cols>
  <sheetData>
    <row r="1" ht="26" customHeight="1">
      <c r="A1" s="1" t="inlineStr">
        <is>
          <t>Milchhof Grünwald eG</t>
        </is>
      </c>
    </row>
    <row r="2">
      <c r="A2" s="2" t="inlineStr">
        <is>
          <t>Molkereigenossenschaft · Wiesenweg 2 · 91710 Gunzenhausen</t>
        </is>
      </c>
    </row>
    <row r="3">
      <c r="A3" s="3" t="inlineStr">
        <is>
          <t>Telefon 09831 8811 · verkauf@milchhof-gruenwald.de · USt-IdNr. DE149063278 · St.-Nr. 203/108/12557</t>
        </is>
      </c>
    </row>
    <row r="5">
      <c r="A5" s="4" t="inlineStr">
        <is>
          <t>Milchhof Grünwald eG · Wiesenweg 2 · 91710 Gunzenhausen</t>
        </is>
      </c>
    </row>
    <row r="6">
      <c r="A6" s="5" t="inlineStr">
        <is>
          <t>Gasthaus Zur Linde</t>
        </is>
      </c>
      <c r="F6" s="2" t="inlineStr">
        <is>
          <t>Kundennummer</t>
        </is>
      </c>
      <c r="H6" s="6" t="inlineStr">
        <is>
          <t>220</t>
        </is>
      </c>
    </row>
    <row r="7">
      <c r="A7" s="2" t="inlineStr">
        <is>
          <t>Inh. Renate Vogel e.K.</t>
        </is>
      </c>
      <c r="F7" s="2" t="inlineStr">
        <is>
          <t>Rechnungsnummer</t>
        </is>
      </c>
      <c r="H7" s="6" t="inlineStr">
        <is>
          <t>25081</t>
        </is>
      </c>
    </row>
    <row r="8">
      <c r="A8" s="2" t="inlineStr">
        <is>
          <t>Lindenstraße 12</t>
        </is>
      </c>
      <c r="F8" s="2" t="inlineStr">
        <is>
          <t>Rechnungsdatum</t>
        </is>
      </c>
      <c r="H8" s="6" t="inlineStr">
        <is>
          <t>14.04.2025</t>
        </is>
      </c>
    </row>
    <row r="9">
      <c r="A9" s="2" t="inlineStr">
        <is>
          <t>91522 Ansbach</t>
        </is>
      </c>
      <c r="F9" s="2" t="inlineStr">
        <is>
          <t>Lieferdatum</t>
        </is>
      </c>
      <c r="H9" s="6" t="inlineStr">
        <is>
          <t>14.04.2025</t>
        </is>
      </c>
    </row>
    <row r="11" ht="22" customHeight="1">
      <c r="A11" s="7" t="inlineStr">
        <is>
          <t>Rechnung Nr. 25081</t>
        </is>
      </c>
    </row>
    <row r="13">
      <c r="A13" s="8" t="inlineStr">
        <is>
          <t>Pos</t>
        </is>
      </c>
      <c r="B13" s="9" t="inlineStr">
        <is>
          <t>Art.-Nr.</t>
        </is>
      </c>
      <c r="C13" s="9" t="inlineStr">
        <is>
          <t>Bezeichnung</t>
        </is>
      </c>
      <c r="D13" s="9" t="inlineStr">
        <is>
          <t>GTIN</t>
        </is>
      </c>
      <c r="E13" s="8" t="inlineStr">
        <is>
          <t>Menge</t>
        </is>
      </c>
      <c r="F13" s="8" t="inlineStr">
        <is>
          <t>Einheit</t>
        </is>
      </c>
      <c r="G13" s="10" t="inlineStr">
        <is>
          <t>Einzelpreis</t>
        </is>
      </c>
      <c r="H13" s="10" t="inlineStr">
        <is>
          <t>Gesamtpreis</t>
        </is>
      </c>
      <c r="I13" s="8" t="inlineStr">
        <is>
          <t>MwSt %</t>
        </is>
      </c>
    </row>
    <row r="14">
      <c r="A14" s="11" t="n">
        <v>1</v>
      </c>
      <c r="B14" s="12" t="inlineStr">
        <is>
          <t>3001</t>
        </is>
      </c>
      <c r="C14" s="12" t="inlineStr">
        <is>
          <t>Deutsche Markenbutter 250 g</t>
        </is>
      </c>
      <c r="D14" s="13" t="inlineStr">
        <is>
          <t>4006040032137</t>
        </is>
      </c>
      <c r="E14" s="14" t="n">
        <v>48</v>
      </c>
      <c r="F14" s="11" t="inlineStr">
        <is>
          <t>Stk</t>
        </is>
      </c>
      <c r="G14" s="15" t="n">
        <v>2.19</v>
      </c>
      <c r="H14" s="15">
        <f>ROUND(E14*G14,2)</f>
        <v/>
      </c>
      <c r="I14" s="16" t="n">
        <v>7</v>
      </c>
    </row>
    <row r="15">
      <c r="A15" s="11" t="n">
        <v>2</v>
      </c>
      <c r="B15" s="12" t="inlineStr">
        <is>
          <t>3110</t>
        </is>
      </c>
      <c r="C15" s="12" t="inlineStr">
        <is>
          <t>Schlagsahne 30 % 1 l</t>
        </is>
      </c>
      <c r="D15" s="13" t="inlineStr">
        <is>
          <t>4006040031109</t>
        </is>
      </c>
      <c r="E15" s="14" t="n">
        <v>14</v>
      </c>
      <c r="F15" s="11" t="inlineStr">
        <is>
          <t>Fl</t>
        </is>
      </c>
      <c r="G15" s="15" t="n">
        <v>2.65</v>
      </c>
      <c r="H15" s="15">
        <f>ROUND(E15*G15,2)</f>
        <v/>
      </c>
      <c r="I15" s="16" t="n">
        <v>7</v>
      </c>
    </row>
    <row r="16">
      <c r="A16" s="11" t="n">
        <v>3</v>
      </c>
      <c r="B16" s="12" t="inlineStr">
        <is>
          <t>3210</t>
        </is>
      </c>
      <c r="C16" s="12" t="inlineStr">
        <is>
          <t>Gouda jung Scheiben 48 % 1 kg</t>
        </is>
      </c>
      <c r="D16" s="13" t="inlineStr">
        <is>
          <t>4006040032106</t>
        </is>
      </c>
      <c r="E16" s="14" t="n">
        <v>8</v>
      </c>
      <c r="F16" s="11" t="inlineStr">
        <is>
          <t>Pkg</t>
        </is>
      </c>
      <c r="G16" s="15" t="n">
        <v>8.699999999999999</v>
      </c>
      <c r="H16" s="15">
        <f>ROUND(E16*G16,2)</f>
        <v/>
      </c>
      <c r="I16" s="16" t="n">
        <v>7</v>
      </c>
    </row>
    <row r="18">
      <c r="F18" s="17" t="inlineStr">
        <is>
          <t>Zwischensumme netto</t>
        </is>
      </c>
      <c r="G18" s="18" t="n"/>
      <c r="H18" s="15">
        <f>ROUND(SUM(H14:H16),2)</f>
        <v/>
      </c>
    </row>
    <row r="19">
      <c r="F19" s="17" t="inlineStr">
        <is>
          <t>MwSt 7 %</t>
        </is>
      </c>
      <c r="G19" s="18" t="n"/>
      <c r="H19" s="15">
        <f>ROUND(H18*700/10000,2)</f>
        <v/>
      </c>
    </row>
    <row r="20">
      <c r="F20" s="19" t="inlineStr">
        <is>
          <t>Rechnungsbetrag</t>
        </is>
      </c>
      <c r="G20" s="18" t="n"/>
      <c r="H20" s="20">
        <f>H18+H19</f>
        <v/>
      </c>
    </row>
    <row r="23">
      <c r="A23" s="3" t="inlineStr">
        <is>
          <t>Zahlbar innerhalb 14 Tagen. Zahlungsziel: 28.04.2025.</t>
        </is>
      </c>
    </row>
    <row r="24">
      <c r="A24" s="3" t="inlineStr">
        <is>
          <t>Bankverbindung: VR-Bank Mittelfranken Mitte eG · IBAN DE86 7656 1010 0001 0448 20 · BIC GENODEF1ANS</t>
        </is>
      </c>
    </row>
    <row r="25">
      <c r="A25" s="3" t="inlineStr">
        <is>
          <t>Genossenschaftsregister: GnR 84 Amtsgericht Ansbach · Vorstand: Hans Grünwald, Ute Feil</t>
        </is>
      </c>
    </row>
    <row r="26">
      <c r="A26" s="3" t="inlineStr">
        <is>
          <t>USt-IdNr. DE149063278 · Steuernummer 203/108/12557</t>
        </is>
      </c>
    </row>
  </sheetData>
  <mergeCells count="24">
    <mergeCell ref="A5:D5"/>
    <mergeCell ref="A25:I25"/>
    <mergeCell ref="A8:D8"/>
    <mergeCell ref="F19:G19"/>
    <mergeCell ref="F6:G6"/>
    <mergeCell ref="A3:I3"/>
    <mergeCell ref="H9:I9"/>
    <mergeCell ref="A26:I26"/>
    <mergeCell ref="F7:G7"/>
    <mergeCell ref="A9:D9"/>
    <mergeCell ref="A2:I2"/>
    <mergeCell ref="H6:I6"/>
    <mergeCell ref="F20:G20"/>
    <mergeCell ref="F18:G18"/>
    <mergeCell ref="A23:I23"/>
    <mergeCell ref="F8:G8"/>
    <mergeCell ref="A6:D6"/>
    <mergeCell ref="H7:I7"/>
    <mergeCell ref="A7:D7"/>
    <mergeCell ref="F9:G9"/>
    <mergeCell ref="A24:I24"/>
    <mergeCell ref="A11:I11"/>
    <mergeCell ref="A1:I1"/>
    <mergeCell ref="H8:I8"/>
  </mergeCells>
  <pageMargins left="0.7" right="0.5" top="0.7" bottom="0.6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2026-09-13T15:37:10Z</dcterms:created>
  <dcterms:modified xsi:type="dcterms:W3CDTF">2026-09-13T15:37:10Z</dcterms:modified>
</cp:coreProperties>
</file>